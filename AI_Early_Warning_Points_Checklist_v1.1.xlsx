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yoji.inoue\Downloads\"/>
    </mc:Choice>
  </mc:AlternateContent>
  <xr:revisionPtr revIDLastSave="0" documentId="13_ncr:1_{F948FBE7-2273-49E4-B5AB-83637422218A}" xr6:coauthVersionLast="47" xr6:coauthVersionMax="47" xr10:uidLastSave="{00000000-0000-0000-0000-000000000000}"/>
  <bookViews>
    <workbookView xWindow="-120" yWindow="-120" windowWidth="20730" windowHeight="11040" activeTab="3" xr2:uid="{00000000-000D-0000-FFFF-FFFF00000000}"/>
  </bookViews>
  <sheets>
    <sheet name="00_README" sheetId="5" r:id="rId1"/>
    <sheet name="Early Warning Points" sheetId="1" r:id="rId2"/>
    <sheet name="Summary" sheetId="2" r:id="rId3"/>
    <sheet name="Assessment Guide" sheetId="3" r:id="rId4"/>
    <sheet name="Lists" sheetId="4"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2" l="1"/>
  <c r="B20" i="2"/>
  <c r="B19" i="2"/>
  <c r="E17" i="2"/>
  <c r="C17" i="2"/>
  <c r="B17" i="2"/>
  <c r="E16" i="2"/>
  <c r="C16" i="2"/>
  <c r="B16" i="2"/>
  <c r="E15" i="2"/>
  <c r="C15" i="2"/>
  <c r="B15" i="2"/>
  <c r="E14" i="2"/>
  <c r="C14" i="2"/>
  <c r="B14" i="2"/>
  <c r="E13" i="2"/>
  <c r="C13" i="2"/>
  <c r="B13" i="2"/>
  <c r="E12" i="2"/>
  <c r="D12" i="2"/>
  <c r="F12" i="2" s="1"/>
  <c r="C12" i="2"/>
  <c r="B12" i="2"/>
  <c r="E11" i="2"/>
  <c r="C11" i="2"/>
  <c r="B11" i="2"/>
  <c r="E10" i="2"/>
  <c r="C10" i="2"/>
  <c r="B10" i="2"/>
  <c r="F25" i="1"/>
  <c r="F24" i="1"/>
  <c r="F23" i="1"/>
  <c r="D17" i="2" s="1"/>
  <c r="F17" i="2" s="1"/>
  <c r="F22" i="1"/>
  <c r="F21" i="1"/>
  <c r="F20" i="1"/>
  <c r="D16" i="2" s="1"/>
  <c r="F16" i="2" s="1"/>
  <c r="F19" i="1"/>
  <c r="F18" i="1"/>
  <c r="F17" i="1"/>
  <c r="D15" i="2" s="1"/>
  <c r="F15" i="2" s="1"/>
  <c r="F16" i="1"/>
  <c r="F15" i="1"/>
  <c r="F14" i="1"/>
  <c r="D14" i="2" s="1"/>
  <c r="F14" i="2" s="1"/>
  <c r="F13" i="1"/>
  <c r="F12" i="1"/>
  <c r="F11" i="1"/>
  <c r="D13" i="2" s="1"/>
  <c r="F13" i="2" s="1"/>
  <c r="F10" i="1"/>
  <c r="F9" i="1"/>
  <c r="F8" i="1"/>
  <c r="F7" i="1"/>
  <c r="F6" i="1"/>
  <c r="D11" i="2" s="1"/>
  <c r="F11" i="2" s="1"/>
  <c r="F5" i="1"/>
  <c r="F4" i="1"/>
  <c r="F3" i="1"/>
  <c r="F2" i="1"/>
  <c r="D10" i="2" s="1"/>
  <c r="F10" i="2" s="1"/>
  <c r="B21" i="2" l="1"/>
  <c r="B23" i="2" s="1"/>
</calcChain>
</file>

<file path=xl/sharedStrings.xml><?xml version="1.0" encoding="utf-8"?>
<sst xmlns="http://schemas.openxmlformats.org/spreadsheetml/2006/main" count="214" uniqueCount="146">
  <si>
    <t>No.</t>
  </si>
  <si>
    <t>Early Warning Point</t>
  </si>
  <si>
    <t>Question</t>
  </si>
  <si>
    <t>Answer</t>
  </si>
  <si>
    <t>Trigger Rule</t>
  </si>
  <si>
    <t>Needs Attention?</t>
  </si>
  <si>
    <t>Owner / Dept.</t>
  </si>
  <si>
    <t>Evidence / Notes</t>
  </si>
  <si>
    <t>Initial Assessment Note</t>
  </si>
  <si>
    <t>1-1</t>
  </si>
  <si>
    <t>Use-Case Drift</t>
  </si>
  <si>
    <t>Was the AI introduced for support tasks such as drafting, summarization, search, or information organization?</t>
  </si>
  <si>
    <t>Info</t>
  </si>
  <si>
    <t>If the answer to 1-2 or 1-3 is Yes or Unknown, the AI use may have shifted beyond its original support purpose, or the actual use may not yet be sufficiently understood. Confirm the actual use case, responsible department, and whether further review is needed.</t>
  </si>
  <si>
    <t>1-2</t>
  </si>
  <si>
    <t>In actual use, are AI outputs being used as references for evaluation, selection, prioritization, approval, or decision support?</t>
  </si>
  <si>
    <t>Yes or Unknown</t>
  </si>
  <si>
    <t>1-3</t>
  </si>
  <si>
    <t>Is there a gap between the original intended use and the way the AI is currently being used?</t>
  </si>
  <si>
    <t>2-1</t>
  </si>
  <si>
    <t>AI Involvement in Decision-Making</t>
  </si>
  <si>
    <t>Are AI outputs used in customer response, personnel evaluation, recruitment, screening, credit-related review, education assessment, or similar processes?</t>
  </si>
  <si>
    <t>If the answer to any question in this category is Yes or Unknown, the AI use may be involved in high-impact decision-making. Confirm whether human review, accountability lines, and review routes are clearly established.</t>
  </si>
  <si>
    <t>2-2</t>
  </si>
  <si>
    <t>Do AI suggestions, summaries, rankings, or recommendations strongly influence the final decision made by a human?</t>
  </si>
  <si>
    <t>2-3</t>
  </si>
  <si>
    <t>Could the use of AI outputs lead to disadvantage, exclusion, lower evaluation, delayed response, or other negative effects for customers, employees, applicants, users, or other individuals?</t>
  </si>
  <si>
    <t>3-1</t>
  </si>
  <si>
    <t>Data Flow and Input Risks</t>
  </si>
  <si>
    <t>Is there any possibility that personal information, customer information, business partner information, internal confidential information, or unpublished information is entered into the AI tool?</t>
  </si>
  <si>
    <t>If the answer to 3-1 is Yes or Unknown, or if the answer to 3-2 or 3-3 is No or Unknown, further confirmation is needed. Review the data type, service terms, internal rules, and security or privacy requirements.</t>
  </si>
  <si>
    <t>3-2</t>
  </si>
  <si>
    <t>Has the organization confirmed where data entered into an external AI service is stored and how it is handled?</t>
  </si>
  <si>
    <t>No or Unknown</t>
  </si>
  <si>
    <t>3-3</t>
  </si>
  <si>
    <t>Are there written rules on what information may or may not be entered into AI tools?</t>
  </si>
  <si>
    <t>4-1</t>
  </si>
  <si>
    <t>Accountability Lines and Risk Ownership</t>
  </si>
  <si>
    <t>Is it clear which person or department approved the AI use?</t>
  </si>
  <si>
    <t>If the answer to any question in this category is No or Unknown, accountability lines may be unclear. Clarify approval authority, final decision responsibility, escalation routes, and risk ownership.</t>
  </si>
  <si>
    <t>4-2</t>
  </si>
  <si>
    <t>When AI outputs are used in a decision, is it clear who is responsible for the final decision?</t>
  </si>
  <si>
    <t>4-3</t>
  </si>
  <si>
    <t>If an error, complaint, or incident occurs, is it clear who will explain, respond, and take ownership of the risk?</t>
  </si>
  <si>
    <t>5-1</t>
  </si>
  <si>
    <t>Audit Trail Gaps</t>
  </si>
  <si>
    <t>Can the organization later confirm which business process used AI, when it was used, who used it, and for what purpose?</t>
  </si>
  <si>
    <t>If the answer to any question in this category is No or Unknown, the AI use may be difficult to explain after a problem occurs. Confirm what level of recordkeeping is necessary and proportionate for the relevant use case.</t>
  </si>
  <si>
    <t>5-2</t>
  </si>
  <si>
    <t>Can the organization keep necessary records of AI inputs, outputs, human review, and modifications within an appropriate scope?</t>
  </si>
  <si>
    <t>5-3</t>
  </si>
  <si>
    <t>Can the organization later explain why an AI output was accepted, modified, or rejected?</t>
  </si>
  <si>
    <t>6-1</t>
  </si>
  <si>
    <t>Human Review Becoming a Formality</t>
  </si>
  <si>
    <t>Do the responsible staff have the authority to modify, reject, or question AI outputs?</t>
  </si>
  <si>
    <t>If the answer to any question in this category is No or Unknown, human review may be ineffective or only formal. Confirm whether reviewers have authority, time, knowledge, and clear criteria for questioning AI outputs.</t>
  </si>
  <si>
    <t>6-2</t>
  </si>
  <si>
    <t>Do the staff reviewing AI outputs have enough time and business knowledge to perform a meaningful review?</t>
  </si>
  <si>
    <t>6-3</t>
  </si>
  <si>
    <t>Are there criteria or conditions for when AI outputs should be questioned, rechecked, or escalated?</t>
  </si>
  <si>
    <t>7-1</t>
  </si>
  <si>
    <t>Review, Escalation, and Suspension Conditions</t>
  </si>
  <si>
    <t>Is there a route for affected individuals or relevant parties to request review of a decision or response involving AI?</t>
  </si>
  <si>
    <t>If the answer to any question in this category is No or Unknown, the organization may have difficulty responding when AI-related problems occur. Confirm review routes, reporting routes, suspension procedures, restart conditions, and recovery readiness.</t>
  </si>
  <si>
    <t>7-2</t>
  </si>
  <si>
    <t>Is there a defined reporting route when errors, complaints, data leaks, inappropriate outputs, or other AI-related issues occur?</t>
  </si>
  <si>
    <t>7-3</t>
  </si>
  <si>
    <t>Is there a procedure for temporarily suspending AI use and confirming restart conditions after a problem occurs?</t>
  </si>
  <si>
    <t>8-1</t>
  </si>
  <si>
    <t>Shadow AI Use</t>
  </si>
  <si>
    <t>Does the organization know whether employees or departments are using personal accounts or unapproved external AI services for work?</t>
  </si>
  <si>
    <t>If the answer to 8-1, 8-2, or 8-3 is No or Unknown, shadow AI use may exist or may be difficult to detect. Confirm actual tool use, approved and unapproved services, and whether employees have a safe route to disclose or consult about AI use.</t>
  </si>
  <si>
    <t>8-2</t>
  </si>
  <si>
    <t>Is it clear which AI tools are approved for organizational use and which are not?</t>
  </si>
  <si>
    <t>8-3</t>
  </si>
  <si>
    <t>Is there a mechanism for employees to report, consult about, or inventory AI tools they are using because they are convenient for work?</t>
  </si>
  <si>
    <t>AI Adoption Early Screening — Summary</t>
  </si>
  <si>
    <t>Checklist version</t>
  </si>
  <si>
    <t>Scope</t>
  </si>
  <si>
    <t>Eight Early Warning Points Before Full-Scale Assessment</t>
  </si>
  <si>
    <t>Prepared on</t>
  </si>
  <si>
    <t>2026-06-28</t>
  </si>
  <si>
    <t>Instructions</t>
  </si>
  <si>
    <t>Select an answer for each question on the Early Warning Points sheet. Use this summary to review categories that need attention.</t>
  </si>
  <si>
    <t>Questions</t>
  </si>
  <si>
    <t>Answered</t>
  </si>
  <si>
    <t>Needs Attention</t>
  </si>
  <si>
    <t>Unknown Answers</t>
  </si>
  <si>
    <t>Category Status</t>
  </si>
  <si>
    <t>Total Questions</t>
  </si>
  <si>
    <t>Questions Needing Attention</t>
  </si>
  <si>
    <t>Suggested Overall Outcome</t>
  </si>
  <si>
    <t>Source note</t>
  </si>
  <si>
    <t>Initial screening tool for discussion and follow-up. Not legal advice, formal audit, complete risk assessment, or compliance certification.</t>
  </si>
  <si>
    <t>Assessment Guide</t>
  </si>
  <si>
    <t>Outcome</t>
  </si>
  <si>
    <t>When to consider it</t>
  </si>
  <si>
    <t>Recommended action</t>
  </si>
  <si>
    <t>Important note</t>
  </si>
  <si>
    <t>Red: Further Review Required</t>
  </si>
  <si>
    <t>Use may influence decisions affecting individuals; may involve sensitive or confidential data; external AI service handling is unclear; accountability, records, review, escalation, or ownership are unclear; multiple categories need confirmation; multiple Unknowns; AI use is spreading without clear visibility; shadow AI may exist.</t>
  </si>
  <si>
    <t>Do not treat the AI use as fully controlled. Confirm actual use case, data flow, accountability lines, human review process, recordkeeping, and escalation routes. Consider consulting legal, compliance, security, privacy, or other relevant experts.</t>
  </si>
  <si>
    <t>This is an initial screening outcome, not a formal risk rating.</t>
  </si>
  <si>
    <t>Yellow: Caution / Follow-Up Needed</t>
  </si>
  <si>
    <t>Some Unknowns exist; no immediate high-impact use has been confirmed; rules or responsible persons exist but practice is not confirmed; records, human review, reporting, or suspension procedures are partial; intended and actual use may not fully align; AI use is expanding without regular review.</t>
  </si>
  <si>
    <t>Clarify unclear points and perform follow-up checks. Update internal rules, usage guidance, recordkeeping practices, and review routes where necessary. Monitor for expansion into decision-related or higher-impact processes.</t>
  </si>
  <si>
    <t>Green: Currently Lower-Risk</t>
  </si>
  <si>
    <t>Purpose and scope are clear; AI use is limited to support tasks; rules exist for information entry; accountability and final decision responsibility are clear; human review is meaningful; necessary records can be kept; escalation and restart routes exist; approved tools are understood.</t>
  </si>
  <si>
    <t>Continue monitoring and review periodically, especially when tool, business process, model capability, service terms, or organizational use case changes.</t>
  </si>
  <si>
    <t>Green is not a certification of safety, legality, compliance, or low risk.</t>
  </si>
  <si>
    <t>Answer Options</t>
  </si>
  <si>
    <t>Trigger Type</t>
  </si>
  <si>
    <t>Meaning</t>
  </si>
  <si>
    <t>Color Outcome</t>
  </si>
  <si>
    <t>Yes</t>
  </si>
  <si>
    <t>Needs attention when answer is Yes or Unknown</t>
  </si>
  <si>
    <t>Red</t>
  </si>
  <si>
    <t>Further Review Required</t>
  </si>
  <si>
    <t>No</t>
  </si>
  <si>
    <t>Needs attention when answer is No or Unknown</t>
  </si>
  <si>
    <t>Yellow</t>
  </si>
  <si>
    <t>Caution / Follow-Up Needed</t>
  </si>
  <si>
    <t>Unknown</t>
  </si>
  <si>
    <t>Context question; does not automatically trigger attention</t>
  </si>
  <si>
    <t>Green</t>
  </si>
  <si>
    <t>Currently Lower-Risk</t>
  </si>
  <si>
    <t>Not applicable</t>
  </si>
  <si>
    <t>English Spreadsheet Version v1.1 | Initial governance screening for AI adoption</t>
  </si>
  <si>
    <t>README / Cover Sheet</t>
  </si>
  <si>
    <t>Purpose</t>
  </si>
  <si>
    <t>How to Use</t>
  </si>
  <si>
    <t>This checklist is a lightweight initial screening tool for identifying early warning points before or during AI adoption. It helps teams check whether additional review may be needed around use-case drift, decision-making influence, data flow, accountability, audit trails, human review, escalation and suspension conditions, and shadow AI use.</t>
  </si>
  <si>
    <t>1. Open the Early Warning Points sheet.
2. Select Yes, No, Unknown, or Not applicable for each question.
3. Review the Summary sheet for categories that need attention.
4. Use the Assessment Guide to interpret Red, Yellow, and Green outcomes.
5. Treat Unknown answers as points requiring follow-up.</t>
  </si>
  <si>
    <t>Important Disclaimer</t>
  </si>
  <si>
    <t>This file is for initial screening and discussion purposes only. It is not legal advice, a formal audit, a complete risk assessment, or a certification of safety, legality, or compliance. Organizations should adapt the checklist to their sector, jurisdiction, internal policies, data protection requirements, security requirements, and applicable AI governance obligations. Red, Yellow, and Green outcomes are indicative prompts for follow-up, not final determinations.</t>
  </si>
  <si>
    <t>Credits</t>
  </si>
  <si>
    <t>Workbook Guide</t>
  </si>
  <si>
    <t>00_README: Purpose, use, disclaimer, and credits
Early Warning Points: Main response sheet
Summary: Category-level and overall screening summary
Assessment Guide: Interpretation of Red / Yellow / Green outcomes
Lists: Answer options and internal reference lists</t>
  </si>
  <si>
    <t>Recommended Use Boundary</t>
  </si>
  <si>
    <t>Use this checklist at the early stage of AI tool adoption, before full-scale assessment or implementation planning. If the checklist identifies decision-making influence, sensitive data flow, unclear accountability, weak recordkeeping, ineffective human review, missing escalation or suspension conditions, or shadow AI use, the organization should conduct further review with relevant legal, compliance, privacy, security, risk, operational, or business stakeholders.</t>
  </si>
  <si>
    <t>Based on the AI Adoption Early Screening Checklist Lite developed by Ryoji Inoue.</t>
    <phoneticPr fontId="8"/>
  </si>
  <si>
    <t>Generated from</t>
    <phoneticPr fontId="8"/>
  </si>
  <si>
    <t>AI_Early_Warning_Points_Checklist Lite</t>
    <phoneticPr fontId="8"/>
  </si>
  <si>
    <t>AI_Early_Warning_Points_Checklist Lite v1.1 (English spreadsheet version)</t>
    <phoneticPr fontId="8"/>
  </si>
  <si>
    <t>Original concept and checklist: Ryoji Inoue
Spreadsheet support: Venkata Pingali
Research project: PolicyPhantom / AIBL Research Unit
Date: June 2026</t>
    <phoneticPr fontId="8"/>
  </si>
  <si>
    <t>Do not rely only on the color outcome. Unknown answers should be treated as follow-up signals, not as neutral or low-risk answers.</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</si>
</sst>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1"/>
      <color rgb="FFFFFFFF"/>
      <name val="Carlito"/>
    </font>
    <font>
      <b/>
      <sz val="16"/>
      <color rgb="FFFFFFFF"/>
      <name val="Carlito"/>
    </font>
    <font>
      <b/>
      <sz val="11"/>
      <name val="Carlito"/>
    </font>
    <font>
      <b/>
      <sz val="18"/>
      <color rgb="FFFFFFFF"/>
      <name val="Carlito"/>
    </font>
    <font>
      <b/>
      <sz val="11"/>
      <color rgb="FF1F4E79"/>
      <name val="Carlito"/>
    </font>
    <font>
      <b/>
      <sz val="12"/>
      <color rgb="FF1F4E79"/>
      <name val="Carlito"/>
    </font>
    <font>
      <sz val="11"/>
      <name val="Carlito"/>
    </font>
    <font>
      <sz val="6"/>
      <name val="ＭＳ Ｐゴシック"/>
      <family val="3"/>
      <charset val="128"/>
    </font>
  </fonts>
  <fills count="9">
    <fill>
      <patternFill patternType="none"/>
    </fill>
    <fill>
      <patternFill patternType="gray125"/>
    </fill>
    <fill>
      <patternFill patternType="solid">
        <fgColor rgb="FF1F4E79"/>
      </patternFill>
    </fill>
    <fill>
      <patternFill patternType="solid">
        <fgColor rgb="FFD9EAF7"/>
      </patternFill>
    </fill>
    <fill>
      <patternFill patternType="solid">
        <fgColor rgb="FF1F4E79"/>
      </patternFill>
    </fill>
    <fill>
      <patternFill patternType="solid">
        <fgColor rgb="FFD9EAF7"/>
      </patternFill>
    </fill>
    <fill>
      <patternFill patternType="solid">
        <fgColor rgb="FFF3F6FA"/>
      </patternFill>
    </fill>
    <fill>
      <patternFill patternType="solid">
        <fgColor rgb="FF5B9BD5"/>
      </patternFill>
    </fill>
    <fill>
      <patternFill patternType="solid">
        <fgColor rgb="FFFFF2CC"/>
      </patternFill>
    </fill>
  </fills>
  <borders count="1">
    <border>
      <left/>
      <right/>
      <top/>
      <bottom/>
      <diagonal/>
    </border>
  </borders>
  <cellStyleXfs count="2">
    <xf numFmtId="0" fontId="0" fillId="0" borderId="0"/>
    <xf numFmtId="0" fontId="7" fillId="0" borderId="0"/>
  </cellStyleXfs>
  <cellXfs count="16">
    <xf numFmtId="0" fontId="0" fillId="0" borderId="0" xfId="0"/>
    <xf numFmtId="0" fontId="1" fillId="2" borderId="0" xfId="1" applyFont="1" applyFill="1" applyAlignment="1">
      <alignment horizontal="center"/>
    </xf>
    <xf numFmtId="0" fontId="1" fillId="2" borderId="0" xfId="1" applyFont="1" applyFill="1" applyAlignment="1">
      <alignment horizontal="center" vertical="center" wrapText="1"/>
    </xf>
    <xf numFmtId="0" fontId="0" fillId="0" borderId="0" xfId="1" applyFont="1" applyAlignment="1">
      <alignment wrapText="1"/>
    </xf>
    <xf numFmtId="0" fontId="0" fillId="0" borderId="0" xfId="1" applyFont="1" applyAlignment="1">
      <alignment vertical="top" wrapText="1"/>
    </xf>
    <xf numFmtId="0" fontId="3" fillId="3" borderId="0" xfId="1" applyFont="1" applyFill="1"/>
    <xf numFmtId="0" fontId="1" fillId="2" borderId="0" xfId="1" applyFont="1" applyFill="1" applyAlignment="1">
      <alignment horizontal="center" wrapText="1"/>
    </xf>
    <xf numFmtId="0" fontId="0" fillId="0" borderId="0" xfId="1" applyFont="1" applyAlignment="1" applyProtection="1">
      <alignment vertical="top" wrapText="1"/>
      <protection locked="0"/>
    </xf>
    <xf numFmtId="0" fontId="4" fillId="4" borderId="0" xfId="1" applyFont="1" applyFill="1" applyAlignment="1">
      <alignment horizontal="center"/>
    </xf>
    <xf numFmtId="0" fontId="5" fillId="5" borderId="0" xfId="1" applyFont="1" applyFill="1" applyAlignment="1">
      <alignment horizontal="center"/>
    </xf>
    <xf numFmtId="0" fontId="6" fillId="6" borderId="0" xfId="1" applyFont="1" applyFill="1" applyAlignment="1">
      <alignment horizontal="center"/>
    </xf>
    <xf numFmtId="0" fontId="1" fillId="7" borderId="0" xfId="1" applyFont="1" applyFill="1"/>
    <xf numFmtId="0" fontId="0" fillId="0" borderId="0" xfId="1" applyFont="1" applyAlignment="1">
      <alignment vertical="top" wrapText="1"/>
    </xf>
    <xf numFmtId="0" fontId="0" fillId="8" borderId="0" xfId="1" applyFont="1" applyFill="1" applyAlignment="1">
      <alignment vertical="top" wrapText="1"/>
    </xf>
    <xf numFmtId="0" fontId="2" fillId="2" borderId="0" xfId="1" applyFont="1" applyFill="1" applyAlignment="1">
      <alignment horizontal="center"/>
    </xf>
    <xf numFmtId="0" fontId="0" fillId="0" borderId="0" xfId="0"/>
  </cellXfs>
  <cellStyles count="2">
    <cellStyle name="Normal" xfId="1" xr:uid="{00000000-0005-0000-0000-000000000000}"/>
    <cellStyle name="標準" xfId="0" builtinId="0"/>
  </cellStyles>
  <dxfs count="12">
    <dxf>
      <font>
        <b/>
        <color rgb="FF274E13"/>
      </font>
      <fill>
        <patternFill>
          <bgColor rgb="FFD9EAD3"/>
        </patternFill>
      </fill>
    </dxf>
    <dxf>
      <font>
        <b/>
        <color rgb="FF7F6000"/>
      </font>
      <fill>
        <patternFill>
          <bgColor rgb="FFFFF2CC"/>
        </patternFill>
      </fill>
    </dxf>
    <dxf>
      <font>
        <b/>
        <color rgb="FF990000"/>
      </font>
      <fill>
        <patternFill>
          <bgColor rgb="FFF4CCCC"/>
        </patternFill>
      </fill>
    </dxf>
    <dxf>
      <font>
        <b/>
        <color rgb="FF274E13"/>
      </font>
      <fill>
        <patternFill>
          <bgColor rgb="FFD9EAD3"/>
        </patternFill>
      </fill>
    </dxf>
    <dxf>
      <font>
        <b/>
        <color rgb="FF7F6000"/>
      </font>
      <fill>
        <patternFill>
          <bgColor rgb="FFFFF2CC"/>
        </patternFill>
      </fill>
    </dxf>
    <dxf>
      <font>
        <b/>
        <color rgb="FF990000"/>
      </font>
      <fill>
        <patternFill>
          <bgColor rgb="FFF4CCCC"/>
        </patternFill>
      </fill>
    </dxf>
    <dxf>
      <font>
        <color rgb="FF274E13"/>
      </font>
      <fill>
        <patternFill>
          <bgColor rgb="FFD9EAD3"/>
        </patternFill>
      </fill>
    </dxf>
    <dxf>
      <font>
        <b/>
        <color rgb="FF990000"/>
      </font>
      <fill>
        <patternFill>
          <bgColor rgb="FFF4CCCC"/>
        </patternFill>
      </fill>
    </dxf>
    <dxf>
      <fill>
        <patternFill>
          <bgColor rgb="FFD9EAD3"/>
        </patternFill>
      </fill>
    </dxf>
    <dxf>
      <fill>
        <patternFill>
          <bgColor rgb="FFEADCF8"/>
        </patternFill>
      </fill>
    </dxf>
    <dxf>
      <fill>
        <patternFill>
          <bgColor rgb="FFFFF2CC"/>
        </patternFill>
      </fill>
    </dxf>
    <dxf>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arlyWarningPointsTable" displayName="EarlyWarningPointsTable" ref="A1:I25">
  <tableColumns count="9">
    <tableColumn id="1" xr3:uid="{00000000-0010-0000-0000-000001000000}" name="No."/>
    <tableColumn id="2" xr3:uid="{00000000-0010-0000-0000-000002000000}" name="Early Warning Point"/>
    <tableColumn id="3" xr3:uid="{00000000-0010-0000-0000-000003000000}" name="Question"/>
    <tableColumn id="4" xr3:uid="{00000000-0010-0000-0000-000004000000}" name="Answer" dataDxfId="11"/>
    <tableColumn id="5" xr3:uid="{00000000-0010-0000-0000-000005000000}" name="Trigger Rule"/>
    <tableColumn id="6" xr3:uid="{00000000-0010-0000-0000-000006000000}" name="Needs Attention?"/>
    <tableColumn id="7" xr3:uid="{00000000-0010-0000-0000-000007000000}" name="Owner / Dept."/>
    <tableColumn id="8" xr3:uid="{00000000-0010-0000-0000-000008000000}" name="Evidence / Notes"/>
    <tableColumn id="9" xr3:uid="{00000000-0010-0000-0000-000009000000}" name="Initial Assessment 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9"/>
  <sheetViews>
    <sheetView workbookViewId="0">
      <selection sqref="A1:H1"/>
    </sheetView>
  </sheetViews>
  <sheetFormatPr defaultRowHeight="14.25"/>
  <cols>
    <col min="1" max="8" width="18" customWidth="1"/>
  </cols>
  <sheetData>
    <row r="1" spans="1:8" ht="26.1" customHeight="1">
      <c r="A1" s="8" t="s">
        <v>142</v>
      </c>
      <c r="B1" s="8"/>
      <c r="C1" s="8"/>
      <c r="D1" s="8"/>
      <c r="E1" s="8"/>
      <c r="F1" s="8"/>
      <c r="G1" s="8"/>
      <c r="H1" s="8"/>
    </row>
    <row r="2" spans="1:8" ht="20.100000000000001" customHeight="1">
      <c r="A2" s="9" t="s">
        <v>127</v>
      </c>
      <c r="B2" s="9"/>
      <c r="C2" s="9"/>
      <c r="D2" s="9"/>
      <c r="E2" s="9"/>
      <c r="F2" s="9"/>
      <c r="G2" s="9"/>
      <c r="H2" s="9"/>
    </row>
    <row r="4" spans="1:8" ht="21.95" customHeight="1">
      <c r="A4" s="10" t="s">
        <v>128</v>
      </c>
      <c r="B4" s="10"/>
      <c r="C4" s="10"/>
      <c r="D4" s="10"/>
      <c r="E4" s="10"/>
      <c r="F4" s="10"/>
      <c r="G4" s="10"/>
      <c r="H4" s="10"/>
    </row>
    <row r="6" spans="1:8" ht="15">
      <c r="A6" s="11" t="s">
        <v>129</v>
      </c>
      <c r="B6" s="11"/>
      <c r="C6" s="11"/>
      <c r="D6" s="11"/>
      <c r="E6" s="11" t="s">
        <v>130</v>
      </c>
      <c r="F6" s="11"/>
      <c r="G6" s="11"/>
      <c r="H6" s="11"/>
    </row>
    <row r="7" spans="1:8" ht="21" customHeight="1">
      <c r="A7" s="12" t="s">
        <v>131</v>
      </c>
      <c r="B7" s="12"/>
      <c r="C7" s="12"/>
      <c r="D7" s="12"/>
      <c r="E7" s="12" t="s">
        <v>132</v>
      </c>
      <c r="F7" s="12"/>
      <c r="G7" s="12"/>
      <c r="H7" s="12"/>
    </row>
    <row r="8" spans="1:8" ht="21" customHeight="1">
      <c r="A8" s="12"/>
      <c r="B8" s="12"/>
      <c r="C8" s="12"/>
      <c r="D8" s="12"/>
      <c r="E8" s="12"/>
      <c r="F8" s="12"/>
      <c r="G8" s="12"/>
      <c r="H8" s="12"/>
    </row>
    <row r="9" spans="1:8" ht="21" customHeight="1">
      <c r="A9" s="12"/>
      <c r="B9" s="12"/>
      <c r="C9" s="12"/>
      <c r="D9" s="12"/>
      <c r="E9" s="12"/>
      <c r="F9" s="12"/>
      <c r="G9" s="12"/>
      <c r="H9" s="12"/>
    </row>
    <row r="10" spans="1:8" ht="21" customHeight="1">
      <c r="A10" s="12"/>
      <c r="B10" s="12"/>
      <c r="C10" s="12"/>
      <c r="D10" s="12"/>
      <c r="E10" s="12"/>
      <c r="F10" s="12"/>
      <c r="G10" s="12"/>
      <c r="H10" s="12"/>
    </row>
    <row r="12" spans="1:8" ht="15">
      <c r="A12" s="11" t="s">
        <v>133</v>
      </c>
      <c r="B12" s="11"/>
      <c r="C12" s="11"/>
      <c r="D12" s="11"/>
      <c r="E12" s="11"/>
      <c r="F12" s="11"/>
      <c r="G12" s="11"/>
      <c r="H12" s="11"/>
    </row>
    <row r="13" spans="1:8" ht="21.95" customHeight="1">
      <c r="A13" s="13" t="s">
        <v>134</v>
      </c>
      <c r="B13" s="13"/>
      <c r="C13" s="13"/>
      <c r="D13" s="13"/>
      <c r="E13" s="13"/>
      <c r="F13" s="13"/>
      <c r="G13" s="13"/>
      <c r="H13" s="13"/>
    </row>
    <row r="14" spans="1:8" ht="21.95" customHeight="1">
      <c r="A14" s="13"/>
      <c r="B14" s="13"/>
      <c r="C14" s="13"/>
      <c r="D14" s="13"/>
      <c r="E14" s="13"/>
      <c r="F14" s="13"/>
      <c r="G14" s="13"/>
      <c r="H14" s="13"/>
    </row>
    <row r="15" spans="1:8" ht="21.95" customHeight="1">
      <c r="A15" s="13"/>
      <c r="B15" s="13"/>
      <c r="C15" s="13"/>
      <c r="D15" s="13"/>
      <c r="E15" s="13"/>
      <c r="F15" s="13"/>
      <c r="G15" s="13"/>
      <c r="H15" s="13"/>
    </row>
    <row r="16" spans="1:8" ht="21.95" customHeight="1">
      <c r="A16" s="13"/>
      <c r="B16" s="13"/>
      <c r="C16" s="13"/>
      <c r="D16" s="13"/>
      <c r="E16" s="13"/>
      <c r="F16" s="13"/>
      <c r="G16" s="13"/>
      <c r="H16" s="13"/>
    </row>
    <row r="18" spans="1:8" ht="15">
      <c r="A18" s="11" t="s">
        <v>135</v>
      </c>
      <c r="B18" s="11"/>
      <c r="C18" s="11"/>
      <c r="D18" s="11"/>
      <c r="E18" s="11" t="s">
        <v>136</v>
      </c>
      <c r="F18" s="11"/>
      <c r="G18" s="11"/>
      <c r="H18" s="11"/>
    </row>
    <row r="19" spans="1:8" ht="21.95" customHeight="1">
      <c r="A19" s="12" t="s">
        <v>144</v>
      </c>
      <c r="B19" s="12"/>
      <c r="C19" s="12"/>
      <c r="D19" s="12"/>
      <c r="E19" s="12" t="s">
        <v>137</v>
      </c>
      <c r="F19" s="12"/>
      <c r="G19" s="12"/>
      <c r="H19" s="12"/>
    </row>
    <row r="20" spans="1:8" ht="21.95" customHeight="1">
      <c r="A20" s="12"/>
      <c r="B20" s="12"/>
      <c r="C20" s="12"/>
      <c r="D20" s="12"/>
      <c r="E20" s="12"/>
      <c r="F20" s="12"/>
      <c r="G20" s="12"/>
      <c r="H20" s="12"/>
    </row>
    <row r="21" spans="1:8" ht="21.95" customHeight="1">
      <c r="A21" s="12"/>
      <c r="B21" s="12"/>
      <c r="C21" s="12"/>
      <c r="D21" s="12"/>
      <c r="E21" s="12"/>
      <c r="F21" s="12"/>
      <c r="G21" s="12"/>
      <c r="H21" s="12"/>
    </row>
    <row r="22" spans="1:8" ht="21.95" customHeight="1">
      <c r="A22" s="12"/>
      <c r="B22" s="12"/>
      <c r="C22" s="12"/>
      <c r="D22" s="12"/>
      <c r="E22" s="12"/>
      <c r="F22" s="12"/>
      <c r="G22" s="12"/>
      <c r="H22" s="12"/>
    </row>
    <row r="23" spans="1:8" ht="21.95" customHeight="1">
      <c r="A23" s="12"/>
      <c r="B23" s="12"/>
      <c r="C23" s="12"/>
      <c r="D23" s="12"/>
      <c r="E23" s="12"/>
      <c r="F23" s="12"/>
      <c r="G23" s="12"/>
      <c r="H23" s="12"/>
    </row>
    <row r="25" spans="1:8" ht="15">
      <c r="A25" s="11" t="s">
        <v>138</v>
      </c>
      <c r="B25" s="11"/>
      <c r="C25" s="11"/>
      <c r="D25" s="11"/>
      <c r="E25" s="11"/>
      <c r="F25" s="11"/>
      <c r="G25" s="11"/>
      <c r="H25" s="11"/>
    </row>
    <row r="26" spans="1:8" ht="21.95" customHeight="1">
      <c r="A26" s="12" t="s">
        <v>139</v>
      </c>
      <c r="B26" s="12"/>
      <c r="C26" s="12"/>
      <c r="D26" s="12"/>
      <c r="E26" s="12"/>
      <c r="F26" s="12"/>
      <c r="G26" s="12"/>
      <c r="H26" s="12"/>
    </row>
    <row r="27" spans="1:8" ht="21.95" customHeight="1">
      <c r="A27" s="12"/>
      <c r="B27" s="12"/>
      <c r="C27" s="12"/>
      <c r="D27" s="12"/>
      <c r="E27" s="12"/>
      <c r="F27" s="12"/>
      <c r="G27" s="12"/>
      <c r="H27" s="12"/>
    </row>
    <row r="28" spans="1:8" ht="21.95" customHeight="1">
      <c r="A28" s="12"/>
      <c r="B28" s="12"/>
      <c r="C28" s="12"/>
      <c r="D28" s="12"/>
      <c r="E28" s="12"/>
      <c r="F28" s="12"/>
      <c r="G28" s="12"/>
      <c r="H28" s="12"/>
    </row>
    <row r="29" spans="1:8" ht="21.95" customHeight="1">
      <c r="A29" s="12"/>
      <c r="B29" s="12"/>
      <c r="C29" s="12"/>
      <c r="D29" s="12"/>
      <c r="E29" s="12"/>
      <c r="F29" s="12"/>
      <c r="G29" s="12"/>
      <c r="H29" s="12"/>
    </row>
  </sheetData>
  <sheetProtection algorithmName="SHA-512" hashValue="TMjehaoWDH/Sl15yBBW8FaKXtUKZhOKzPsxn8EYNsJctNW/uiKYCuoQeeRKKweS6szPcLLSZhpWtAP5Zffw6CA==" saltValue="ZJ+aUkZTFoPqrwc+hkq/eg==" spinCount="100000" sheet="1" objects="1" scenarios="1"/>
  <mergeCells count="15">
    <mergeCell ref="A25:H25"/>
    <mergeCell ref="A26:H29"/>
    <mergeCell ref="A12:H12"/>
    <mergeCell ref="A13:H16"/>
    <mergeCell ref="A18:D18"/>
    <mergeCell ref="A19:D23"/>
    <mergeCell ref="E18:H18"/>
    <mergeCell ref="E19:H23"/>
    <mergeCell ref="A1:H1"/>
    <mergeCell ref="A2:H2"/>
    <mergeCell ref="A4:H4"/>
    <mergeCell ref="A6:D6"/>
    <mergeCell ref="A7:D10"/>
    <mergeCell ref="E6:H6"/>
    <mergeCell ref="E7:H10"/>
  </mergeCells>
  <phoneticPr fontId="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workbookViewId="0"/>
  </sheetViews>
  <sheetFormatPr defaultRowHeight="14.25"/>
  <cols>
    <col min="1" max="1" width="8" customWidth="1"/>
    <col min="2" max="2" width="32" customWidth="1"/>
    <col min="3" max="3" width="72" customWidth="1"/>
    <col min="4" max="4" width="16" customWidth="1"/>
    <col min="5" max="6" width="18" customWidth="1"/>
    <col min="7" max="7" width="22" customWidth="1"/>
    <col min="8" max="8" width="40" customWidth="1"/>
    <col min="9" max="9" width="80" customWidth="1"/>
  </cols>
  <sheetData>
    <row r="1" spans="1:9" ht="15">
      <c r="A1" s="2" t="s">
        <v>0</v>
      </c>
      <c r="B1" s="2" t="s">
        <v>1</v>
      </c>
      <c r="C1" s="2" t="s">
        <v>2</v>
      </c>
      <c r="D1" s="2" t="s">
        <v>3</v>
      </c>
      <c r="E1" s="2" t="s">
        <v>4</v>
      </c>
      <c r="F1" s="2" t="s">
        <v>5</v>
      </c>
      <c r="G1" s="2" t="s">
        <v>6</v>
      </c>
      <c r="H1" s="2" t="s">
        <v>7</v>
      </c>
      <c r="I1" s="2" t="s">
        <v>8</v>
      </c>
    </row>
    <row r="2" spans="1:9" ht="57.95" customHeight="1">
      <c r="A2" s="4" t="s">
        <v>9</v>
      </c>
      <c r="B2" s="4" t="s">
        <v>10</v>
      </c>
      <c r="C2" s="4" t="s">
        <v>11</v>
      </c>
      <c r="D2" s="7"/>
      <c r="E2" s="4" t="s">
        <v>12</v>
      </c>
      <c r="F2" s="4" t="str">
        <f t="shared" ref="F2:F25" si="0">IF(D2="","",IF(E2="Info","No",IF(E2="Yes or Unknown",IF(OR(D2="Yes",D2="Unknown"),"Yes","No"),IF(E2="No or Unknown",IF(OR(D2="No",D2="Unknown"),"Yes","No"),"No"))))</f>
        <v/>
      </c>
      <c r="G2" s="4"/>
      <c r="H2" s="4"/>
      <c r="I2" s="4" t="s">
        <v>13</v>
      </c>
    </row>
    <row r="3" spans="1:9" ht="57.95" customHeight="1">
      <c r="A3" s="4" t="s">
        <v>14</v>
      </c>
      <c r="B3" s="4" t="s">
        <v>10</v>
      </c>
      <c r="C3" s="4" t="s">
        <v>15</v>
      </c>
      <c r="D3" s="7"/>
      <c r="E3" s="4" t="s">
        <v>16</v>
      </c>
      <c r="F3" s="4" t="str">
        <f t="shared" si="0"/>
        <v/>
      </c>
      <c r="G3" s="4"/>
      <c r="H3" s="4"/>
      <c r="I3" s="4" t="s">
        <v>13</v>
      </c>
    </row>
    <row r="4" spans="1:9" ht="57.95" customHeight="1">
      <c r="A4" s="4" t="s">
        <v>17</v>
      </c>
      <c r="B4" s="4" t="s">
        <v>10</v>
      </c>
      <c r="C4" s="4" t="s">
        <v>18</v>
      </c>
      <c r="D4" s="7"/>
      <c r="E4" s="4" t="s">
        <v>16</v>
      </c>
      <c r="F4" s="4" t="str">
        <f t="shared" si="0"/>
        <v/>
      </c>
      <c r="G4" s="4"/>
      <c r="H4" s="4"/>
      <c r="I4" s="4" t="s">
        <v>13</v>
      </c>
    </row>
    <row r="5" spans="1:9" ht="57.95" customHeight="1">
      <c r="A5" s="4" t="s">
        <v>19</v>
      </c>
      <c r="B5" s="4" t="s">
        <v>20</v>
      </c>
      <c r="C5" s="4" t="s">
        <v>21</v>
      </c>
      <c r="D5" s="7"/>
      <c r="E5" s="4" t="s">
        <v>16</v>
      </c>
      <c r="F5" s="4" t="str">
        <f t="shared" si="0"/>
        <v/>
      </c>
      <c r="G5" s="4"/>
      <c r="H5" s="4"/>
      <c r="I5" s="4" t="s">
        <v>22</v>
      </c>
    </row>
    <row r="6" spans="1:9" ht="57.95" customHeight="1">
      <c r="A6" s="4" t="s">
        <v>23</v>
      </c>
      <c r="B6" s="4" t="s">
        <v>20</v>
      </c>
      <c r="C6" s="4" t="s">
        <v>24</v>
      </c>
      <c r="D6" s="7"/>
      <c r="E6" s="4" t="s">
        <v>16</v>
      </c>
      <c r="F6" s="4" t="str">
        <f t="shared" si="0"/>
        <v/>
      </c>
      <c r="G6" s="4"/>
      <c r="H6" s="4"/>
      <c r="I6" s="4" t="s">
        <v>22</v>
      </c>
    </row>
    <row r="7" spans="1:9" ht="57.95" customHeight="1">
      <c r="A7" s="4" t="s">
        <v>25</v>
      </c>
      <c r="B7" s="4" t="s">
        <v>20</v>
      </c>
      <c r="C7" s="4" t="s">
        <v>26</v>
      </c>
      <c r="D7" s="7"/>
      <c r="E7" s="4" t="s">
        <v>16</v>
      </c>
      <c r="F7" s="4" t="str">
        <f t="shared" si="0"/>
        <v/>
      </c>
      <c r="G7" s="4"/>
      <c r="H7" s="4"/>
      <c r="I7" s="4" t="s">
        <v>22</v>
      </c>
    </row>
    <row r="8" spans="1:9" ht="57.95" customHeight="1">
      <c r="A8" s="4" t="s">
        <v>27</v>
      </c>
      <c r="B8" s="4" t="s">
        <v>28</v>
      </c>
      <c r="C8" s="4" t="s">
        <v>29</v>
      </c>
      <c r="D8" s="7"/>
      <c r="E8" s="4" t="s">
        <v>16</v>
      </c>
      <c r="F8" s="4" t="str">
        <f t="shared" si="0"/>
        <v/>
      </c>
      <c r="G8" s="4"/>
      <c r="H8" s="4"/>
      <c r="I8" s="4" t="s">
        <v>30</v>
      </c>
    </row>
    <row r="9" spans="1:9" ht="57.95" customHeight="1">
      <c r="A9" s="4" t="s">
        <v>31</v>
      </c>
      <c r="B9" s="4" t="s">
        <v>28</v>
      </c>
      <c r="C9" s="4" t="s">
        <v>32</v>
      </c>
      <c r="D9" s="7"/>
      <c r="E9" s="4" t="s">
        <v>33</v>
      </c>
      <c r="F9" s="4" t="str">
        <f t="shared" si="0"/>
        <v/>
      </c>
      <c r="G9" s="4"/>
      <c r="H9" s="4"/>
      <c r="I9" s="4" t="s">
        <v>30</v>
      </c>
    </row>
    <row r="10" spans="1:9" ht="57.95" customHeight="1">
      <c r="A10" s="4" t="s">
        <v>34</v>
      </c>
      <c r="B10" s="4" t="s">
        <v>28</v>
      </c>
      <c r="C10" s="4" t="s">
        <v>35</v>
      </c>
      <c r="D10" s="7"/>
      <c r="E10" s="4" t="s">
        <v>33</v>
      </c>
      <c r="F10" s="4" t="str">
        <f t="shared" si="0"/>
        <v/>
      </c>
      <c r="G10" s="4"/>
      <c r="H10" s="4"/>
      <c r="I10" s="4" t="s">
        <v>30</v>
      </c>
    </row>
    <row r="11" spans="1:9" ht="57.95" customHeight="1">
      <c r="A11" s="4" t="s">
        <v>36</v>
      </c>
      <c r="B11" s="4" t="s">
        <v>37</v>
      </c>
      <c r="C11" s="4" t="s">
        <v>38</v>
      </c>
      <c r="D11" s="7"/>
      <c r="E11" s="4" t="s">
        <v>33</v>
      </c>
      <c r="F11" s="4" t="str">
        <f t="shared" si="0"/>
        <v/>
      </c>
      <c r="G11" s="4"/>
      <c r="H11" s="4"/>
      <c r="I11" s="4" t="s">
        <v>39</v>
      </c>
    </row>
    <row r="12" spans="1:9" ht="57.95" customHeight="1">
      <c r="A12" s="4" t="s">
        <v>40</v>
      </c>
      <c r="B12" s="4" t="s">
        <v>37</v>
      </c>
      <c r="C12" s="4" t="s">
        <v>41</v>
      </c>
      <c r="D12" s="7"/>
      <c r="E12" s="4" t="s">
        <v>33</v>
      </c>
      <c r="F12" s="4" t="str">
        <f t="shared" si="0"/>
        <v/>
      </c>
      <c r="G12" s="4"/>
      <c r="H12" s="4"/>
      <c r="I12" s="4" t="s">
        <v>39</v>
      </c>
    </row>
    <row r="13" spans="1:9" ht="57.95" customHeight="1">
      <c r="A13" s="4" t="s">
        <v>42</v>
      </c>
      <c r="B13" s="4" t="s">
        <v>37</v>
      </c>
      <c r="C13" s="4" t="s">
        <v>43</v>
      </c>
      <c r="D13" s="7"/>
      <c r="E13" s="4" t="s">
        <v>33</v>
      </c>
      <c r="F13" s="4" t="str">
        <f t="shared" si="0"/>
        <v/>
      </c>
      <c r="G13" s="4"/>
      <c r="H13" s="4"/>
      <c r="I13" s="4" t="s">
        <v>39</v>
      </c>
    </row>
    <row r="14" spans="1:9" ht="57.95" customHeight="1">
      <c r="A14" s="4" t="s">
        <v>44</v>
      </c>
      <c r="B14" s="4" t="s">
        <v>45</v>
      </c>
      <c r="C14" s="4" t="s">
        <v>46</v>
      </c>
      <c r="D14" s="7"/>
      <c r="E14" s="4" t="s">
        <v>33</v>
      </c>
      <c r="F14" s="4" t="str">
        <f t="shared" si="0"/>
        <v/>
      </c>
      <c r="G14" s="4"/>
      <c r="H14" s="4"/>
      <c r="I14" s="4" t="s">
        <v>47</v>
      </c>
    </row>
    <row r="15" spans="1:9" ht="57.95" customHeight="1">
      <c r="A15" s="4" t="s">
        <v>48</v>
      </c>
      <c r="B15" s="4" t="s">
        <v>45</v>
      </c>
      <c r="C15" s="4" t="s">
        <v>49</v>
      </c>
      <c r="D15" s="7"/>
      <c r="E15" s="4" t="s">
        <v>33</v>
      </c>
      <c r="F15" s="4" t="str">
        <f t="shared" si="0"/>
        <v/>
      </c>
      <c r="G15" s="4"/>
      <c r="H15" s="4"/>
      <c r="I15" s="4" t="s">
        <v>47</v>
      </c>
    </row>
    <row r="16" spans="1:9" ht="57.95" customHeight="1">
      <c r="A16" s="4" t="s">
        <v>50</v>
      </c>
      <c r="B16" s="4" t="s">
        <v>45</v>
      </c>
      <c r="C16" s="4" t="s">
        <v>51</v>
      </c>
      <c r="D16" s="7"/>
      <c r="E16" s="4" t="s">
        <v>33</v>
      </c>
      <c r="F16" s="4" t="str">
        <f t="shared" si="0"/>
        <v/>
      </c>
      <c r="G16" s="4"/>
      <c r="H16" s="4"/>
      <c r="I16" s="4" t="s">
        <v>47</v>
      </c>
    </row>
    <row r="17" spans="1:9" ht="57.95" customHeight="1">
      <c r="A17" s="4" t="s">
        <v>52</v>
      </c>
      <c r="B17" s="4" t="s">
        <v>53</v>
      </c>
      <c r="C17" s="4" t="s">
        <v>54</v>
      </c>
      <c r="D17" s="7"/>
      <c r="E17" s="4" t="s">
        <v>33</v>
      </c>
      <c r="F17" s="4" t="str">
        <f t="shared" si="0"/>
        <v/>
      </c>
      <c r="G17" s="4"/>
      <c r="H17" s="4"/>
      <c r="I17" s="4" t="s">
        <v>55</v>
      </c>
    </row>
    <row r="18" spans="1:9" ht="57.95" customHeight="1">
      <c r="A18" s="4" t="s">
        <v>56</v>
      </c>
      <c r="B18" s="4" t="s">
        <v>53</v>
      </c>
      <c r="C18" s="4" t="s">
        <v>57</v>
      </c>
      <c r="D18" s="7"/>
      <c r="E18" s="4" t="s">
        <v>33</v>
      </c>
      <c r="F18" s="4" t="str">
        <f t="shared" si="0"/>
        <v/>
      </c>
      <c r="G18" s="4"/>
      <c r="H18" s="4"/>
      <c r="I18" s="4" t="s">
        <v>55</v>
      </c>
    </row>
    <row r="19" spans="1:9" ht="57.95" customHeight="1">
      <c r="A19" s="4" t="s">
        <v>58</v>
      </c>
      <c r="B19" s="4" t="s">
        <v>53</v>
      </c>
      <c r="C19" s="4" t="s">
        <v>59</v>
      </c>
      <c r="D19" s="7"/>
      <c r="E19" s="4" t="s">
        <v>33</v>
      </c>
      <c r="F19" s="4" t="str">
        <f t="shared" si="0"/>
        <v/>
      </c>
      <c r="G19" s="4"/>
      <c r="H19" s="4"/>
      <c r="I19" s="4" t="s">
        <v>55</v>
      </c>
    </row>
    <row r="20" spans="1:9" ht="57.95" customHeight="1">
      <c r="A20" s="4" t="s">
        <v>60</v>
      </c>
      <c r="B20" s="4" t="s">
        <v>61</v>
      </c>
      <c r="C20" s="4" t="s">
        <v>62</v>
      </c>
      <c r="D20" s="7"/>
      <c r="E20" s="4" t="s">
        <v>33</v>
      </c>
      <c r="F20" s="4" t="str">
        <f t="shared" si="0"/>
        <v/>
      </c>
      <c r="G20" s="4"/>
      <c r="H20" s="4"/>
      <c r="I20" s="4" t="s">
        <v>63</v>
      </c>
    </row>
    <row r="21" spans="1:9" ht="57.95" customHeight="1">
      <c r="A21" s="4" t="s">
        <v>64</v>
      </c>
      <c r="B21" s="4" t="s">
        <v>61</v>
      </c>
      <c r="C21" s="4" t="s">
        <v>65</v>
      </c>
      <c r="D21" s="7"/>
      <c r="E21" s="4" t="s">
        <v>33</v>
      </c>
      <c r="F21" s="4" t="str">
        <f t="shared" si="0"/>
        <v/>
      </c>
      <c r="G21" s="4"/>
      <c r="H21" s="4"/>
      <c r="I21" s="4" t="s">
        <v>63</v>
      </c>
    </row>
    <row r="22" spans="1:9" ht="57.95" customHeight="1">
      <c r="A22" s="4" t="s">
        <v>66</v>
      </c>
      <c r="B22" s="4" t="s">
        <v>61</v>
      </c>
      <c r="C22" s="4" t="s">
        <v>67</v>
      </c>
      <c r="D22" s="7"/>
      <c r="E22" s="4" t="s">
        <v>33</v>
      </c>
      <c r="F22" s="4" t="str">
        <f t="shared" si="0"/>
        <v/>
      </c>
      <c r="G22" s="4"/>
      <c r="H22" s="4"/>
      <c r="I22" s="4" t="s">
        <v>63</v>
      </c>
    </row>
    <row r="23" spans="1:9" ht="57.95" customHeight="1">
      <c r="A23" s="4" t="s">
        <v>68</v>
      </c>
      <c r="B23" s="4" t="s">
        <v>69</v>
      </c>
      <c r="C23" s="4" t="s">
        <v>70</v>
      </c>
      <c r="D23" s="7"/>
      <c r="E23" s="4" t="s">
        <v>33</v>
      </c>
      <c r="F23" s="4" t="str">
        <f t="shared" si="0"/>
        <v/>
      </c>
      <c r="G23" s="4"/>
      <c r="H23" s="4"/>
      <c r="I23" s="4" t="s">
        <v>71</v>
      </c>
    </row>
    <row r="24" spans="1:9" ht="57.95" customHeight="1">
      <c r="A24" s="4" t="s">
        <v>72</v>
      </c>
      <c r="B24" s="4" t="s">
        <v>69</v>
      </c>
      <c r="C24" s="4" t="s">
        <v>73</v>
      </c>
      <c r="D24" s="7"/>
      <c r="E24" s="4" t="s">
        <v>33</v>
      </c>
      <c r="F24" s="4" t="str">
        <f t="shared" si="0"/>
        <v/>
      </c>
      <c r="G24" s="4"/>
      <c r="H24" s="4"/>
      <c r="I24" s="4" t="s">
        <v>71</v>
      </c>
    </row>
    <row r="25" spans="1:9" ht="57.95" customHeight="1">
      <c r="A25" s="4" t="s">
        <v>74</v>
      </c>
      <c r="B25" s="4" t="s">
        <v>69</v>
      </c>
      <c r="C25" s="4" t="s">
        <v>75</v>
      </c>
      <c r="D25" s="7"/>
      <c r="E25" s="4" t="s">
        <v>33</v>
      </c>
      <c r="F25" s="4" t="str">
        <f t="shared" si="0"/>
        <v/>
      </c>
      <c r="G25" s="4"/>
      <c r="H25" s="4"/>
      <c r="I25" s="4" t="s">
        <v>71</v>
      </c>
    </row>
  </sheetData>
  <sheetProtection algorithmName="SHA-512" hashValue="lQdTM4J+AulkADM1u831lVWaFIWJG0l905tPxclh/uCF5QNLf5hnSF1jxIv2Uf53PmRXpwGygGaujubgpICeEw==" saltValue="kiZsQJmAJjhhsgssduXNQg==" spinCount="100000" sheet="1" objects="1" scenarios="1"/>
  <phoneticPr fontId="8"/>
  <conditionalFormatting sqref="D2:D25">
    <cfRule type="expression" dxfId="10" priority="3">
      <formula>$D2="Unknown"</formula>
    </cfRule>
    <cfRule type="expression" dxfId="9" priority="4">
      <formula>$D2="Yes"</formula>
    </cfRule>
    <cfRule type="expression" dxfId="8" priority="5">
      <formula>$D2="No"</formula>
    </cfRule>
  </conditionalFormatting>
  <conditionalFormatting sqref="F2:F25">
    <cfRule type="expression" dxfId="7" priority="1">
      <formula>$F2="Yes"</formula>
    </cfRule>
    <cfRule type="expression" dxfId="6" priority="2">
      <formula>$F2="No"</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000-000000000000}">
          <x14:formula1>
            <xm:f>Lists!$A$2:$A$5</xm:f>
          </x14:formula1>
          <xm:sqref>D2:D25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workbookViewId="0">
      <selection sqref="A1:H1"/>
    </sheetView>
  </sheetViews>
  <sheetFormatPr defaultRowHeight="14.25"/>
  <cols>
    <col min="1" max="1" width="48.125" customWidth="1"/>
    <col min="2" max="2" width="70" customWidth="1"/>
    <col min="3" max="3" width="8.125" customWidth="1"/>
    <col min="4" max="4" width="13.25" customWidth="1"/>
    <col min="5" max="5" width="15.25" customWidth="1"/>
    <col min="6" max="6" width="12.75" customWidth="1"/>
  </cols>
  <sheetData>
    <row r="1" spans="1:8" ht="20.25">
      <c r="A1" s="14" t="s">
        <v>76</v>
      </c>
      <c r="B1" s="15"/>
      <c r="C1" s="15"/>
      <c r="D1" s="15"/>
      <c r="E1" s="15"/>
      <c r="F1" s="15"/>
      <c r="G1" s="15"/>
      <c r="H1" s="15"/>
    </row>
    <row r="3" spans="1:8" ht="15">
      <c r="A3" s="5" t="s">
        <v>141</v>
      </c>
      <c r="B3" t="s">
        <v>140</v>
      </c>
    </row>
    <row r="4" spans="1:8" ht="15">
      <c r="A4" s="5" t="s">
        <v>77</v>
      </c>
      <c r="B4" t="s">
        <v>143</v>
      </c>
    </row>
    <row r="5" spans="1:8" ht="15">
      <c r="A5" s="5" t="s">
        <v>78</v>
      </c>
      <c r="B5" t="s">
        <v>79</v>
      </c>
    </row>
    <row r="6" spans="1:8" ht="15">
      <c r="A6" s="5" t="s">
        <v>80</v>
      </c>
      <c r="B6" t="s">
        <v>81</v>
      </c>
    </row>
    <row r="7" spans="1:8" ht="29.25">
      <c r="A7" s="5" t="s">
        <v>82</v>
      </c>
      <c r="B7" s="3" t="s">
        <v>83</v>
      </c>
    </row>
    <row r="9" spans="1:8" ht="30">
      <c r="A9" s="6" t="s">
        <v>1</v>
      </c>
      <c r="B9" s="6" t="s">
        <v>84</v>
      </c>
      <c r="C9" s="6" t="s">
        <v>85</v>
      </c>
      <c r="D9" s="6" t="s">
        <v>86</v>
      </c>
      <c r="E9" s="6" t="s">
        <v>87</v>
      </c>
      <c r="F9" s="6" t="s">
        <v>88</v>
      </c>
    </row>
    <row r="10" spans="1:8" ht="15">
      <c r="A10" s="3" t="s">
        <v>10</v>
      </c>
      <c r="B10" s="3">
        <f>COUNTIF('Early Warning Points'!$B:$B,A10)</f>
        <v>3</v>
      </c>
      <c r="C10" s="3">
        <f>COUNTIFS('Early Warning Points'!$B:$B,A10,'Early Warning Points'!$D:$D,"&lt;&gt;")</f>
        <v>0</v>
      </c>
      <c r="D10" s="3">
        <f>COUNTIFS('Early Warning Points'!$B:$B,A10,'Early Warning Points'!$F:$F,"Yes")</f>
        <v>0</v>
      </c>
      <c r="E10" s="3">
        <f>COUNTIFS('Early Warning Points'!$B:$B,A10,'Early Warning Points'!$D:$D,"Unknown")</f>
        <v>0</v>
      </c>
      <c r="F10" s="3" t="str">
        <f t="shared" ref="F10:F17" si="0">IF(D10&gt;0,"Needs Attention",IF(C10&lt;B10,"Incomplete","OK"))</f>
        <v>Incomplete</v>
      </c>
    </row>
    <row r="11" spans="1:8" ht="15">
      <c r="A11" s="3" t="s">
        <v>20</v>
      </c>
      <c r="B11" s="3">
        <f>COUNTIF('Early Warning Points'!$B:$B,A11)</f>
        <v>3</v>
      </c>
      <c r="C11" s="3">
        <f>COUNTIFS('Early Warning Points'!$B:$B,A11,'Early Warning Points'!$D:$D,"&lt;&gt;")</f>
        <v>0</v>
      </c>
      <c r="D11" s="3">
        <f>COUNTIFS('Early Warning Points'!$B:$B,A11,'Early Warning Points'!$F:$F,"Yes")</f>
        <v>0</v>
      </c>
      <c r="E11" s="3">
        <f>COUNTIFS('Early Warning Points'!$B:$B,A11,'Early Warning Points'!$D:$D,"Unknown")</f>
        <v>0</v>
      </c>
      <c r="F11" s="3" t="str">
        <f t="shared" si="0"/>
        <v>Incomplete</v>
      </c>
    </row>
    <row r="12" spans="1:8" ht="15">
      <c r="A12" s="3" t="s">
        <v>28</v>
      </c>
      <c r="B12" s="3">
        <f>COUNTIF('Early Warning Points'!$B:$B,A12)</f>
        <v>3</v>
      </c>
      <c r="C12" s="3">
        <f>COUNTIFS('Early Warning Points'!$B:$B,A12,'Early Warning Points'!$D:$D,"&lt;&gt;")</f>
        <v>0</v>
      </c>
      <c r="D12" s="3">
        <f>COUNTIFS('Early Warning Points'!$B:$B,A12,'Early Warning Points'!$F:$F,"Yes")</f>
        <v>0</v>
      </c>
      <c r="E12" s="3">
        <f>COUNTIFS('Early Warning Points'!$B:$B,A12,'Early Warning Points'!$D:$D,"Unknown")</f>
        <v>0</v>
      </c>
      <c r="F12" s="3" t="str">
        <f t="shared" si="0"/>
        <v>Incomplete</v>
      </c>
    </row>
    <row r="13" spans="1:8" ht="15">
      <c r="A13" s="3" t="s">
        <v>37</v>
      </c>
      <c r="B13" s="3">
        <f>COUNTIF('Early Warning Points'!$B:$B,A13)</f>
        <v>3</v>
      </c>
      <c r="C13" s="3">
        <f>COUNTIFS('Early Warning Points'!$B:$B,A13,'Early Warning Points'!$D:$D,"&lt;&gt;")</f>
        <v>0</v>
      </c>
      <c r="D13" s="3">
        <f>COUNTIFS('Early Warning Points'!$B:$B,A13,'Early Warning Points'!$F:$F,"Yes")</f>
        <v>0</v>
      </c>
      <c r="E13" s="3">
        <f>COUNTIFS('Early Warning Points'!$B:$B,A13,'Early Warning Points'!$D:$D,"Unknown")</f>
        <v>0</v>
      </c>
      <c r="F13" s="3" t="str">
        <f t="shared" si="0"/>
        <v>Incomplete</v>
      </c>
    </row>
    <row r="14" spans="1:8" ht="15">
      <c r="A14" s="3" t="s">
        <v>45</v>
      </c>
      <c r="B14" s="3">
        <f>COUNTIF('Early Warning Points'!$B:$B,A14)</f>
        <v>3</v>
      </c>
      <c r="C14" s="3">
        <f>COUNTIFS('Early Warning Points'!$B:$B,A14,'Early Warning Points'!$D:$D,"&lt;&gt;")</f>
        <v>0</v>
      </c>
      <c r="D14" s="3">
        <f>COUNTIFS('Early Warning Points'!$B:$B,A14,'Early Warning Points'!$F:$F,"Yes")</f>
        <v>0</v>
      </c>
      <c r="E14" s="3">
        <f>COUNTIFS('Early Warning Points'!$B:$B,A14,'Early Warning Points'!$D:$D,"Unknown")</f>
        <v>0</v>
      </c>
      <c r="F14" s="3" t="str">
        <f t="shared" si="0"/>
        <v>Incomplete</v>
      </c>
    </row>
    <row r="15" spans="1:8" ht="15">
      <c r="A15" s="3" t="s">
        <v>53</v>
      </c>
      <c r="B15" s="3">
        <f>COUNTIF('Early Warning Points'!$B:$B,A15)</f>
        <v>3</v>
      </c>
      <c r="C15" s="3">
        <f>COUNTIFS('Early Warning Points'!$B:$B,A15,'Early Warning Points'!$D:$D,"&lt;&gt;")</f>
        <v>0</v>
      </c>
      <c r="D15" s="3">
        <f>COUNTIFS('Early Warning Points'!$B:$B,A15,'Early Warning Points'!$F:$F,"Yes")</f>
        <v>0</v>
      </c>
      <c r="E15" s="3">
        <f>COUNTIFS('Early Warning Points'!$B:$B,A15,'Early Warning Points'!$D:$D,"Unknown")</f>
        <v>0</v>
      </c>
      <c r="F15" s="3" t="str">
        <f t="shared" si="0"/>
        <v>Incomplete</v>
      </c>
    </row>
    <row r="16" spans="1:8" ht="15">
      <c r="A16" s="3" t="s">
        <v>61</v>
      </c>
      <c r="B16" s="3">
        <f>COUNTIF('Early Warning Points'!$B:$B,A16)</f>
        <v>3</v>
      </c>
      <c r="C16" s="3">
        <f>COUNTIFS('Early Warning Points'!$B:$B,A16,'Early Warning Points'!$D:$D,"&lt;&gt;")</f>
        <v>0</v>
      </c>
      <c r="D16" s="3">
        <f>COUNTIFS('Early Warning Points'!$B:$B,A16,'Early Warning Points'!$F:$F,"Yes")</f>
        <v>0</v>
      </c>
      <c r="E16" s="3">
        <f>COUNTIFS('Early Warning Points'!$B:$B,A16,'Early Warning Points'!$D:$D,"Unknown")</f>
        <v>0</v>
      </c>
      <c r="F16" s="3" t="str">
        <f t="shared" si="0"/>
        <v>Incomplete</v>
      </c>
    </row>
    <row r="17" spans="1:6" ht="15">
      <c r="A17" s="3" t="s">
        <v>69</v>
      </c>
      <c r="B17" s="3">
        <f>COUNTIF('Early Warning Points'!$B:$B,A17)</f>
        <v>3</v>
      </c>
      <c r="C17" s="3">
        <f>COUNTIFS('Early Warning Points'!$B:$B,A17,'Early Warning Points'!$D:$D,"&lt;&gt;")</f>
        <v>0</v>
      </c>
      <c r="D17" s="3">
        <f>COUNTIFS('Early Warning Points'!$B:$B,A17,'Early Warning Points'!$F:$F,"Yes")</f>
        <v>0</v>
      </c>
      <c r="E17" s="3">
        <f>COUNTIFS('Early Warning Points'!$B:$B,A17,'Early Warning Points'!$D:$D,"Unknown")</f>
        <v>0</v>
      </c>
      <c r="F17" s="3" t="str">
        <f t="shared" si="0"/>
        <v>Incomplete</v>
      </c>
    </row>
    <row r="19" spans="1:6" ht="15">
      <c r="A19" s="5" t="s">
        <v>89</v>
      </c>
      <c r="B19">
        <f>COUNTA('Early Warning Points'!$A$2:$A$25)</f>
        <v>24</v>
      </c>
    </row>
    <row r="20" spans="1:6" ht="15">
      <c r="A20" s="5" t="s">
        <v>85</v>
      </c>
      <c r="B20">
        <f>COUNTIF('Early Warning Points'!$D$2:$D$25,"&lt;&gt;")</f>
        <v>0</v>
      </c>
    </row>
    <row r="21" spans="1:6" ht="15">
      <c r="A21" s="5" t="s">
        <v>90</v>
      </c>
      <c r="B21">
        <f>COUNTIF('Early Warning Points'!$F$2:$F$25,"Yes")</f>
        <v>0</v>
      </c>
    </row>
    <row r="22" spans="1:6" ht="15">
      <c r="A22" s="5" t="s">
        <v>87</v>
      </c>
      <c r="B22">
        <f>COUNTIF('Early Warning Points'!$D$2:$D$25,"Unknown")</f>
        <v>0</v>
      </c>
    </row>
    <row r="23" spans="1:6" ht="15">
      <c r="A23" s="5" t="s">
        <v>91</v>
      </c>
      <c r="B23" t="str">
        <f>IF(B21&gt;=3,"Red",IF(OR(B21&gt;0,B22&gt;0,B20&lt;B19),"Yellow","Green"))</f>
        <v>Yellow</v>
      </c>
    </row>
    <row r="24" spans="1:6" ht="15">
      <c r="A24" s="5" t="s">
        <v>92</v>
      </c>
      <c r="B24" t="s">
        <v>93</v>
      </c>
    </row>
  </sheetData>
  <sheetProtection algorithmName="SHA-512" hashValue="v1obYS/WB/zqLUT0B99vT6CyBxqzTeKhqT34fcnVKnQa3uYpU2EqZOgmZcIhU38YjbG5XilNP89F2PwBvhqTRw==" saltValue="CePtXcwWTyb7Wf70ng3h4Q==" spinCount="100000" sheet="1" objects="1" scenarios="1"/>
  <mergeCells count="1">
    <mergeCell ref="A1:H1"/>
  </mergeCells>
  <phoneticPr fontId="8"/>
  <conditionalFormatting sqref="B23">
    <cfRule type="expression" dxfId="5" priority="1">
      <formula>$B$23="Red"</formula>
    </cfRule>
    <cfRule type="expression" dxfId="4" priority="2">
      <formula>$B$23="Yellow"</formula>
    </cfRule>
    <cfRule type="expression" dxfId="3" priority="3">
      <formula>$B$23="Green"</formula>
    </cfRule>
  </conditionalFormatting>
  <conditionalFormatting sqref="F10:F17">
    <cfRule type="expression" dxfId="2" priority="4">
      <formula>$F10="Needs Attention"</formula>
    </cfRule>
    <cfRule type="expression" dxfId="1" priority="5">
      <formula>$F10="Incomplete"</formula>
    </cfRule>
    <cfRule type="expression" dxfId="0" priority="6">
      <formula>$F10="OK"</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tabSelected="1" zoomScale="80" zoomScaleNormal="80" workbookViewId="0">
      <selection sqref="A1:D1"/>
    </sheetView>
  </sheetViews>
  <sheetFormatPr defaultRowHeight="14.25"/>
  <cols>
    <col min="1" max="1" width="28" customWidth="1"/>
    <col min="2" max="2" width="70" customWidth="1"/>
    <col min="3" max="3" width="65" customWidth="1"/>
    <col min="4" max="4" width="40" customWidth="1"/>
  </cols>
  <sheetData>
    <row r="1" spans="1:4" ht="20.25">
      <c r="A1" s="14" t="s">
        <v>94</v>
      </c>
      <c r="B1" s="15"/>
      <c r="C1" s="15"/>
      <c r="D1" s="15"/>
    </row>
    <row r="3" spans="1:4" ht="15">
      <c r="A3" s="1" t="s">
        <v>95</v>
      </c>
      <c r="B3" s="1" t="s">
        <v>96</v>
      </c>
      <c r="C3" s="1" t="s">
        <v>97</v>
      </c>
      <c r="D3" s="1" t="s">
        <v>98</v>
      </c>
    </row>
    <row r="4" spans="1:4" ht="120" customHeight="1">
      <c r="A4" s="4" t="s">
        <v>99</v>
      </c>
      <c r="B4" s="4" t="s">
        <v>100</v>
      </c>
      <c r="C4" s="4" t="s">
        <v>101</v>
      </c>
      <c r="D4" s="4" t="s">
        <v>102</v>
      </c>
    </row>
    <row r="5" spans="1:4" ht="120" customHeight="1">
      <c r="A5" s="4" t="s">
        <v>103</v>
      </c>
      <c r="B5" s="4" t="s">
        <v>104</v>
      </c>
      <c r="C5" s="4" t="s">
        <v>105</v>
      </c>
      <c r="D5" s="4" t="s">
        <v>145</v>
      </c>
    </row>
    <row r="6" spans="1:4" ht="120" customHeight="1">
      <c r="A6" s="4" t="s">
        <v>106</v>
      </c>
      <c r="B6" s="4" t="s">
        <v>107</v>
      </c>
      <c r="C6" s="4" t="s">
        <v>108</v>
      </c>
      <c r="D6" s="4" t="s">
        <v>109</v>
      </c>
    </row>
  </sheetData>
  <sheetProtection algorithmName="SHA-512" hashValue="45DYzpULYJW/EqqKDlcoHjzgJVHeWerobRRQlS1ETIQnzybPP0Izmf9ugZLK7vw7TP9RkdiGQrdUg8/gYVBg1A==" saltValue="ZWO2/CBQjAnrqMhmyA8W2g==" spinCount="100000" sheet="1" objects="1" scenarios="1"/>
  <mergeCells count="1">
    <mergeCell ref="A1:D1"/>
  </mergeCells>
  <phoneticPr fontId="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
  <sheetViews>
    <sheetView workbookViewId="0"/>
  </sheetViews>
  <sheetFormatPr defaultRowHeight="14.25"/>
  <cols>
    <col min="1" max="1" width="13" customWidth="1"/>
    <col min="3" max="3" width="12.75" customWidth="1"/>
    <col min="4" max="4" width="46.375" customWidth="1"/>
    <col min="6" max="6" width="12.25" customWidth="1"/>
    <col min="7" max="7" width="22.625" customWidth="1"/>
  </cols>
  <sheetData>
    <row r="1" spans="1:7" ht="15">
      <c r="A1" s="1" t="s">
        <v>110</v>
      </c>
      <c r="B1" s="1"/>
      <c r="C1" s="1" t="s">
        <v>111</v>
      </c>
      <c r="D1" s="1" t="s">
        <v>112</v>
      </c>
      <c r="E1" s="1"/>
      <c r="F1" s="1" t="s">
        <v>113</v>
      </c>
      <c r="G1" s="1" t="s">
        <v>112</v>
      </c>
    </row>
    <row r="2" spans="1:7">
      <c r="A2" t="s">
        <v>114</v>
      </c>
      <c r="C2" t="s">
        <v>16</v>
      </c>
      <c r="D2" t="s">
        <v>115</v>
      </c>
      <c r="F2" t="s">
        <v>116</v>
      </c>
      <c r="G2" t="s">
        <v>117</v>
      </c>
    </row>
    <row r="3" spans="1:7">
      <c r="A3" t="s">
        <v>118</v>
      </c>
      <c r="C3" t="s">
        <v>33</v>
      </c>
      <c r="D3" t="s">
        <v>119</v>
      </c>
      <c r="F3" t="s">
        <v>120</v>
      </c>
      <c r="G3" t="s">
        <v>121</v>
      </c>
    </row>
    <row r="4" spans="1:7">
      <c r="A4" t="s">
        <v>122</v>
      </c>
      <c r="C4" t="s">
        <v>12</v>
      </c>
      <c r="D4" t="s">
        <v>123</v>
      </c>
      <c r="F4" t="s">
        <v>124</v>
      </c>
      <c r="G4" t="s">
        <v>125</v>
      </c>
    </row>
    <row r="5" spans="1:7">
      <c r="A5" t="s">
        <v>126</v>
      </c>
    </row>
  </sheetData>
  <sheetProtection algorithmName="SHA-512" hashValue="PXoGX0KaepnyrkhLDUh+BVH4aFKqXGCJJ/zD3gxl5P76eROaIGjY8dyasWCRvRuprMQs0LEhved2DdoHO6G/KA==" saltValue="122cHvj4dC2E7yFkErD81Q==" spinCount="100000" sheet="1" objects="1" scenarios="1"/>
  <phoneticPr fontId="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00_README</vt:lpstr>
      <vt:lpstr>Early Warning Points</vt:lpstr>
      <vt:lpstr>Summary</vt:lpstr>
      <vt:lpstr>Assessment Guide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井上 亮司</cp:lastModifiedBy>
  <dcterms:modified xsi:type="dcterms:W3CDTF">2026-06-28T09:40:06Z</dcterms:modified>
</cp:coreProperties>
</file>